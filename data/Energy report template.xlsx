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GR Report\"/>
    </mc:Choice>
  </mc:AlternateContent>
  <bookViews>
    <workbookView xWindow="0" yWindow="0" windowWidth="14380" windowHeight="3810"/>
  </bookViews>
  <sheets>
    <sheet name="Energy Report" sheetId="1" r:id="rId1"/>
  </sheets>
  <calcPr calcId="162913"/>
</workbook>
</file>

<file path=xl/calcChain.xml><?xml version="1.0" encoding="utf-8"?>
<calcChain xmlns="http://schemas.openxmlformats.org/spreadsheetml/2006/main">
  <c r="C18" i="1" l="1"/>
  <c r="L18" i="1"/>
  <c r="M18" i="1"/>
  <c r="N18" i="1"/>
  <c r="O18" i="1"/>
  <c r="P18" i="1"/>
  <c r="D18" i="1" l="1"/>
  <c r="R21" i="1" s="1"/>
  <c r="E18" i="1"/>
  <c r="R23" i="1" s="1"/>
  <c r="F18" i="1"/>
  <c r="R25" i="1" s="1"/>
  <c r="Q18" i="1"/>
  <c r="K18" i="1" l="1"/>
  <c r="J18" i="1"/>
  <c r="I18" i="1"/>
  <c r="G18" i="1"/>
  <c r="H18" i="1"/>
</calcChain>
</file>

<file path=xl/sharedStrings.xml><?xml version="1.0" encoding="utf-8"?>
<sst xmlns="http://schemas.openxmlformats.org/spreadsheetml/2006/main" count="43" uniqueCount="42">
  <si>
    <t>Date</t>
  </si>
  <si>
    <t>Total Generation  (MWH)</t>
  </si>
  <si>
    <t>Breakdown Hours</t>
  </si>
  <si>
    <t>Generation Hours</t>
  </si>
  <si>
    <t>Operating Hours</t>
  </si>
  <si>
    <t>Weather Condition</t>
  </si>
  <si>
    <t>Daily Generation</t>
  </si>
  <si>
    <t>Monthly Generation</t>
  </si>
  <si>
    <t>Yearly Generation</t>
  </si>
  <si>
    <t>Daily</t>
  </si>
  <si>
    <t>Monthly</t>
  </si>
  <si>
    <t>Yearly</t>
  </si>
  <si>
    <t>GF</t>
  </si>
  <si>
    <t xml:space="preserve">FM  </t>
  </si>
  <si>
    <t>S</t>
  </si>
  <si>
    <t>U</t>
  </si>
  <si>
    <t>Good radiation</t>
  </si>
  <si>
    <t>Enrich Zaheerabad Seventeen</t>
  </si>
  <si>
    <t>Zaheerabad-1</t>
  </si>
  <si>
    <t>Enrich-Z017</t>
  </si>
  <si>
    <t>Project Name:</t>
  </si>
  <si>
    <t>SITE:</t>
  </si>
  <si>
    <t xml:space="preserve"> DAILY ENERGY REPORT</t>
  </si>
  <si>
    <t>TOTAL YEARLY GENERATION</t>
  </si>
  <si>
    <t>TOTAL DAILY GENERATION</t>
  </si>
  <si>
    <t>TOTAL MONTHLY GENERATION</t>
  </si>
  <si>
    <t>*Business Purpose for "Other" Items:</t>
  </si>
  <si>
    <t>Location:</t>
  </si>
  <si>
    <t>Zaheerabad</t>
  </si>
  <si>
    <t>1000 KW</t>
  </si>
  <si>
    <t>1020 KW</t>
  </si>
  <si>
    <t>AC Capacity:</t>
  </si>
  <si>
    <t>DC Capacity:</t>
  </si>
  <si>
    <t>Customer       LOGO</t>
  </si>
  <si>
    <t>Doc. No.: XXXXXXXXXXXXXXX</t>
  </si>
  <si>
    <t>Doc. Date.: XX-XX-XXXX</t>
  </si>
  <si>
    <t>Plant Availability   %</t>
  </si>
  <si>
    <t>Generation (KWH)</t>
  </si>
  <si>
    <t>P L F</t>
  </si>
  <si>
    <t xml:space="preserve"> FROM DATE:</t>
  </si>
  <si>
    <t xml:space="preserve"> TO DATE:</t>
  </si>
  <si>
    <t>Grid Availability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</si>
</sst>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7" formatCode="&quot;$&quot;#,##0.00_);\(&quot;$&quot;#,##0.00\)"/>
    <numFmt numFmtId="164" formatCode="&quot;$&quot;#,##0.00"/>
    <numFmt numFmtId="165" formatCode="dd/mm/yyyy"/>
    <numFmt numFmtId="166" formatCode="[$-409]d/mmm/yyyy;@"/>
    <numFmt numFmtId="167" formatCode="hh:mm\ &quot;H&quot;"/>
  </numFmts>
  <fonts count="23" x14ac:knownFonts="1">
    <font>
      <sz val="9"/>
      <color theme="3"/>
      <name val="Arial"/>
      <family val="2"/>
      <scheme val="minor"/>
    </font>
    <font>
      <sz val="8"/>
      <color theme="1" tint="0.14996795556505021"/>
      <name val="Arial"/>
      <family val="2"/>
      <scheme val="minor"/>
    </font>
    <font>
      <b/>
      <sz val="17"/>
      <color theme="0"/>
      <name val="Bookman Old Style"/>
      <family val="2"/>
      <scheme val="major"/>
    </font>
    <font>
      <b/>
      <sz val="9"/>
      <color theme="0"/>
      <name val="Bookman Old Style"/>
      <family val="1"/>
      <scheme val="major"/>
    </font>
    <font>
      <sz val="8"/>
      <color theme="3" tint="0.39994506668294322"/>
      <name val="Bookman Old Style"/>
      <family val="1"/>
      <scheme val="major"/>
    </font>
    <font>
      <sz val="8"/>
      <color theme="0"/>
      <name val="Arial"/>
      <family val="2"/>
      <scheme val="minor"/>
    </font>
    <font>
      <i/>
      <sz val="8"/>
      <color theme="1" tint="0.499984740745262"/>
      <name val="Arial"/>
      <family val="2"/>
      <scheme val="minor"/>
    </font>
    <font>
      <sz val="36"/>
      <color theme="3" tint="0.39994506668294322"/>
      <name val="Bookman Old Style"/>
      <family val="1"/>
      <scheme val="major"/>
    </font>
    <font>
      <sz val="9"/>
      <color theme="3" tint="0.39997558519241921"/>
      <name val="Arial"/>
      <family val="2"/>
      <scheme val="minor"/>
    </font>
    <font>
      <b/>
      <sz val="10"/>
      <color theme="0" tint="-0.499984740745262"/>
      <name val="Arial"/>
      <family val="2"/>
      <scheme val="minor"/>
    </font>
    <font>
      <b/>
      <sz val="10"/>
      <color theme="3" tint="0.39994506668294322"/>
      <name val="Bookman Old Style"/>
      <family val="1"/>
      <scheme val="major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2"/>
      <color theme="3" tint="0.39994506668294322"/>
      <name val="Bookman Old Style"/>
      <family val="1"/>
      <scheme val="major"/>
    </font>
    <font>
      <sz val="8"/>
      <color theme="2" tint="-0.89999084444715716"/>
      <name val="Bookman Old Style"/>
      <family val="1"/>
      <scheme val="major"/>
    </font>
    <font>
      <sz val="9"/>
      <color theme="6" tint="-0.499984740745262"/>
      <name val="Arial"/>
      <family val="2"/>
      <scheme val="minor"/>
    </font>
    <font>
      <sz val="9"/>
      <color theme="3" tint="0.59999389629810485"/>
      <name val="Arial"/>
      <family val="2"/>
      <scheme val="minor"/>
    </font>
    <font>
      <sz val="9"/>
      <color theme="3" tint="-0.249977111117893"/>
      <name val="Arial"/>
      <family val="2"/>
      <scheme val="minor"/>
    </font>
    <font>
      <b/>
      <sz val="10"/>
      <color theme="2" tint="-0.89999084444715716"/>
      <name val="Arial"/>
      <family val="2"/>
      <scheme val="minor"/>
    </font>
    <font>
      <b/>
      <sz val="16"/>
      <color theme="0"/>
      <name val="Calibri Light"/>
      <family val="2"/>
    </font>
    <font>
      <sz val="18"/>
      <color theme="0"/>
      <name val="Bookman Old Style"/>
      <family val="1"/>
    </font>
    <font>
      <sz val="10"/>
      <color theme="2" tint="-0.499984740745262"/>
      <name val="Bookman Old Style"/>
      <family val="1"/>
      <scheme val="major"/>
    </font>
    <font>
      <sz val="10"/>
      <color theme="3" tint="-0.499984740745262"/>
      <name val="Bookman Old Style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635C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 style="hair">
        <color theme="2" tint="-0.89999084444715716"/>
      </bottom>
      <diagonal/>
    </border>
    <border>
      <left/>
      <right/>
      <top/>
      <bottom style="hair">
        <color theme="2" tint="-0.89999084444715716"/>
      </bottom>
      <diagonal/>
    </border>
    <border>
      <left/>
      <right/>
      <top style="hair">
        <color theme="2" tint="-0.89999084444715716"/>
      </top>
      <bottom style="hair">
        <color theme="2" tint="-0.89999084444715716"/>
      </bottom>
      <diagonal/>
    </border>
    <border>
      <left/>
      <right style="thin">
        <color theme="0" tint="-0.249977111117893"/>
      </right>
      <top/>
      <bottom style="hair">
        <color theme="2" tint="-0.89999084444715716"/>
      </bottom>
      <diagonal/>
    </border>
    <border>
      <left/>
      <right style="thin">
        <color theme="0" tint="-0.249977111117893"/>
      </right>
      <top style="hair">
        <color theme="2" tint="-0.89999084444715716"/>
      </top>
      <bottom style="hair">
        <color theme="2" tint="-0.89999084444715716"/>
      </bottom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9" fillId="0" borderId="0" applyNumberFormat="0" applyFill="0" applyBorder="0" applyProtection="0">
      <alignment horizontal="left" vertical="center"/>
    </xf>
    <xf numFmtId="7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10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50">
    <xf numFmtId="0" fontId="0" fillId="0" borderId="0" xfId="0">
      <alignment vertical="center"/>
    </xf>
    <xf numFmtId="0" fontId="0" fillId="0" borderId="0" xfId="0">
      <alignment vertical="center"/>
    </xf>
    <xf numFmtId="7" fontId="3" fillId="2" borderId="1" xfId="3">
      <alignment vertical="center"/>
    </xf>
    <xf numFmtId="0" fontId="6" fillId="0" borderId="0" xfId="5" applyFont="1" applyAlignment="1">
      <alignment horizontal="right" vertical="center"/>
    </xf>
    <xf numFmtId="0" fontId="2" fillId="0" borderId="0" xfId="1" applyFill="1">
      <alignment horizontal="left" vertical="center" indent="1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164" fontId="9" fillId="0" borderId="0" xfId="2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5" borderId="11" xfId="0" applyNumberFormat="1" applyFont="1" applyFill="1" applyBorder="1" applyAlignment="1" applyProtection="1">
      <alignment horizontal="center" vertical="center" wrapText="1"/>
    </xf>
    <xf numFmtId="165" fontId="14" fillId="3" borderId="14" xfId="9" applyNumberFormat="1" applyFont="1" applyBorder="1" applyAlignment="1">
      <alignment horizontal="center" vertical="center"/>
    </xf>
    <xf numFmtId="37" fontId="0" fillId="0" borderId="15" xfId="0" applyNumberFormat="1" applyFont="1" applyFill="1" applyBorder="1">
      <alignment vertical="center"/>
    </xf>
    <xf numFmtId="7" fontId="0" fillId="0" borderId="18" xfId="4" applyNumberFormat="1" applyFont="1" applyFill="1" applyBorder="1" applyAlignment="1"/>
    <xf numFmtId="37" fontId="3" fillId="2" borderId="1" xfId="0" applyNumberFormat="1" applyFont="1" applyFill="1" applyBorder="1" applyAlignment="1">
      <alignment vertical="center"/>
    </xf>
    <xf numFmtId="37" fontId="0" fillId="0" borderId="16" xfId="4" applyNumberFormat="1" applyFont="1" applyFill="1" applyBorder="1" applyAlignment="1"/>
    <xf numFmtId="37" fontId="15" fillId="0" borderId="17" xfId="0" applyNumberFormat="1" applyFont="1" applyFill="1" applyBorder="1" applyAlignment="1">
      <alignment horizontal="center" vertical="center"/>
    </xf>
    <xf numFmtId="20" fontId="0" fillId="0" borderId="15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0" fontId="18" fillId="0" borderId="0" xfId="2" applyFont="1" applyAlignment="1">
      <alignment horizontal="left" vertical="center"/>
    </xf>
    <xf numFmtId="166" fontId="18" fillId="0" borderId="0" xfId="2" applyNumberFormat="1" applyFont="1" applyAlignment="1">
      <alignment horizontal="left" vertical="center"/>
    </xf>
    <xf numFmtId="0" fontId="19" fillId="6" borderId="0" xfId="1" applyFont="1" applyFill="1" applyAlignment="1">
      <alignment horizontal="left" vertical="center" indent="1"/>
    </xf>
    <xf numFmtId="0" fontId="13" fillId="0" borderId="0" xfId="6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top"/>
    </xf>
    <xf numFmtId="0" fontId="2" fillId="4" borderId="0" xfId="1" applyBorder="1" applyAlignment="1">
      <alignment horizontal="left" vertical="center" indent="1"/>
    </xf>
    <xf numFmtId="0" fontId="2" fillId="4" borderId="0" xfId="1" applyBorder="1">
      <alignment horizontal="left" vertical="center" indent="1"/>
    </xf>
    <xf numFmtId="0" fontId="20" fillId="4" borderId="0" xfId="1" applyFont="1" applyBorder="1" applyAlignment="1">
      <alignment horizontal="right" vertical="center" indent="1"/>
    </xf>
    <xf numFmtId="167" fontId="3" fillId="2" borderId="1" xfId="0" applyNumberFormat="1" applyFont="1" applyFill="1" applyBorder="1" applyAlignment="1">
      <alignment horizontal="center" vertical="center"/>
    </xf>
    <xf numFmtId="10" fontId="0" fillId="0" borderId="15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1" fontId="3" fillId="2" borderId="1" xfId="3" applyNumberFormat="1">
      <alignment vertical="center"/>
    </xf>
    <xf numFmtId="0" fontId="21" fillId="0" borderId="0" xfId="7" applyFont="1" applyAlignment="1">
      <alignment horizontal="right" vertical="center"/>
    </xf>
    <xf numFmtId="1" fontId="21" fillId="0" borderId="0" xfId="7" applyNumberFormat="1" applyFont="1" applyAlignment="1">
      <alignment horizontal="right" vertical="center"/>
    </xf>
    <xf numFmtId="1" fontId="22" fillId="0" borderId="0" xfId="7" applyNumberFormat="1" applyFont="1" applyAlignment="1">
      <alignment horizontal="right" vertical="center"/>
    </xf>
    <xf numFmtId="0" fontId="12" fillId="5" borderId="11" xfId="0" applyNumberFormat="1" applyFont="1" applyFill="1" applyBorder="1" applyAlignment="1" applyProtection="1">
      <alignment horizontal="center" vertical="center" wrapText="1"/>
    </xf>
    <xf numFmtId="0" fontId="12" fillId="5" borderId="1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6" fillId="0" borderId="3" xfId="5" applyBorder="1" applyAlignment="1">
      <alignment horizontal="left" vertical="top"/>
    </xf>
    <xf numFmtId="0" fontId="6" fillId="0" borderId="4" xfId="5" applyBorder="1" applyAlignment="1">
      <alignment horizontal="left" vertical="top"/>
    </xf>
    <xf numFmtId="0" fontId="6" fillId="0" borderId="5" xfId="5" applyBorder="1" applyAlignment="1">
      <alignment horizontal="left" vertical="top"/>
    </xf>
    <xf numFmtId="0" fontId="6" fillId="0" borderId="6" xfId="5" applyBorder="1" applyAlignment="1">
      <alignment horizontal="left" vertical="top"/>
    </xf>
    <xf numFmtId="0" fontId="6" fillId="0" borderId="0" xfId="5" applyBorder="1" applyAlignment="1">
      <alignment horizontal="left" vertical="top"/>
    </xf>
    <xf numFmtId="0" fontId="6" fillId="0" borderId="7" xfId="5" applyBorder="1" applyAlignment="1">
      <alignment horizontal="left" vertical="top"/>
    </xf>
    <xf numFmtId="0" fontId="6" fillId="0" borderId="8" xfId="5" applyBorder="1" applyAlignment="1">
      <alignment horizontal="left" vertical="top"/>
    </xf>
    <xf numFmtId="0" fontId="6" fillId="0" borderId="9" xfId="5" applyBorder="1" applyAlignment="1">
      <alignment horizontal="left" vertical="top"/>
    </xf>
    <xf numFmtId="0" fontId="6" fillId="0" borderId="10" xfId="5" applyBorder="1" applyAlignment="1">
      <alignment horizontal="left" vertical="top"/>
    </xf>
    <xf numFmtId="0" fontId="11" fillId="5" borderId="12" xfId="0" applyNumberFormat="1" applyFont="1" applyFill="1" applyBorder="1" applyAlignment="1" applyProtection="1">
      <alignment horizontal="center" vertical="center" wrapText="1"/>
    </xf>
    <xf numFmtId="0" fontId="11" fillId="5" borderId="13" xfId="0" applyNumberFormat="1" applyFont="1" applyFill="1" applyBorder="1" applyAlignment="1" applyProtection="1">
      <alignment horizontal="center" vertical="center" wrapText="1"/>
    </xf>
  </cellXfs>
  <cellStyles count="10">
    <cellStyle name="Do Not Type" xfId="4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/>
    <cellStyle name="Instructions" xfId="5"/>
    <cellStyle name="Normal" xfId="0" builtinId="0" customBuiltin="1"/>
    <cellStyle name="Table Totals" xfId="3"/>
    <cellStyle name="Title" xfId="1" builtinId="15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5" formatCode="#,##0_);\(#,##0\)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14" formatCode="0.00%"/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167" formatCode="hh:mm\ &quot;H&quot;"/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167" formatCode="hh:mm\ &quot;H&quot;"/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167" formatCode="hh:mm\ &quot;H&quot;"/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167" formatCode="hh:mm\ &quot;H&quot;"/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167" formatCode="hh:mm\ &quot;H&quot;"/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167" formatCode="hh:mm\ &quot;H&quot;"/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14" formatCode="0.00%"/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5" formatCode="#,##0_);\(#,##0\)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5" formatCode="#,##0_);\(#,##0\)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5" formatCode="#,##0_);\(#,##0\)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5" formatCode="#,##0_);\(#,##0\)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5" formatCode="#,##0_);\(#,##0\)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5" formatCode="#,##0_);\(#,##0\)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scheme val="major"/>
      </font>
      <numFmt numFmtId="5" formatCode="#,##0_);\(#,##0\)"/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>
      <tableStyleElement type="wholeTable" dxfId="18"/>
      <tableStyleElement type="totalRow" dxfId="17"/>
      <tableStyleElement type="lastColumn" dxfId="16"/>
    </tableStyle>
  </tableStyles>
  <colors>
    <mruColors>
      <color rgb="FF635C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169333</xdr:rowOff>
    </xdr:from>
    <xdr:to>
      <xdr:col>2</xdr:col>
      <xdr:colOff>723900</xdr:colOff>
      <xdr:row>0</xdr:row>
      <xdr:rowOff>1103050</xdr:rowOff>
    </xdr:to>
    <xdr:pic>
      <xdr:nvPicPr>
        <xdr:cNvPr id="4" name="Picture"/>
        <xdr:cNvPicPr/>
      </xdr:nvPicPr>
      <xdr:blipFill>
        <a:blip xmlns:r="http://schemas.openxmlformats.org/officeDocument/2006/relationships" r:embed="rId1"/>
        <a:srcRect/>
        <a:stretch>
          <a:fillRect l="18823" r="18823"/>
        </a:stretch>
      </xdr:blipFill>
      <xdr:spPr>
        <a:xfrm>
          <a:off x="0" y="169333"/>
          <a:ext cx="1909233" cy="9337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Energy" displayName="Energy" ref="B11:R18" headerRowCount="0" totalsRowCount="1">
  <tableColumns count="17">
    <tableColumn id="1" name="Transportation"/>
    <tableColumn id="11" name="Day 1" totalsRowFunction="custom" totalsRowDxfId="15" dataCellStyle="Do Not Type">
      <totalsRowFormula>SUBTOTAL(109,C11:C17)</totalsRowFormula>
    </tableColumn>
    <tableColumn id="12" name="Day 2" totalsRowFunction="stdDev" totalsRowDxfId="14"/>
    <tableColumn id="17" name="Day 3" totalsRowFunction="max" totalsRowDxfId="13"/>
    <tableColumn id="13" name="Day 4" totalsRowFunction="max" totalsRowDxfId="12"/>
    <tableColumn id="14" name="Day 5" totalsRowFunction="average" totalsRowDxfId="11"/>
    <tableColumn id="15" name="Day 6" totalsRowFunction="average" totalsRowDxfId="10"/>
    <tableColumn id="16" name="Day 7" totalsRowFunction="average" totalsRowDxfId="9"/>
    <tableColumn id="9" name="Total" totalsRowFunction="average" totalsRowDxfId="8" dataCellStyle="Do Not Type"/>
    <tableColumn id="2" name="Column1" totalsRowFunction="sum" totalsRowDxfId="7" dataCellStyle="Do Not Type"/>
    <tableColumn id="3" name="Column2" totalsRowFunction="sum" totalsRowDxfId="6" dataCellStyle="Do Not Type"/>
    <tableColumn id="4" name="Column3" totalsRowFunction="sum" totalsRowDxfId="5" dataCellStyle="Do Not Type"/>
    <tableColumn id="5" name="Column4" totalsRowFunction="sum" totalsRowDxfId="4" dataCellStyle="Do Not Type"/>
    <tableColumn id="6" name="Column5" totalsRowFunction="sum" totalsRowDxfId="3" dataCellStyle="Do Not Type"/>
    <tableColumn id="7" name="Column6" totalsRowFunction="sum" totalsRowDxfId="2" dataCellStyle="Do Not Type"/>
    <tableColumn id="8" name="Column7" totalsRowFunction="average" totalsRowDxfId="1" dataCellStyle="Do Not Type"/>
    <tableColumn id="10" name="Column8" totalsRowDxfId="0" dataCellStyle="Do Not Type"/>
  </tableColumns>
  <tableStyleInfo name="Expense Report" showFirstColumn="0" showLastColumn="1" showRowStripes="1" showColumnStripes="0"/>
  <extLst>
    <ext xmlns:x14="http://schemas.microsoft.com/office/spreadsheetml/2009/9/main" uri="{504A1905-F514-4f6f-8877-14C23A59335A}">
      <x14:table altText="Transportation Expenses" altTextSummary="List of transportation expenses for each day of the expense week."/>
    </ext>
  </extLst>
</table>
</file>

<file path=xl/theme/theme1.xml><?xml version="1.0" encoding="utf-8"?>
<a:theme xmlns:a="http://schemas.openxmlformats.org/drawingml/2006/main" name="Office Theme">
  <a:themeElements>
    <a:clrScheme name="Expense Report">
      <a:dk1>
        <a:srgbClr val="000000"/>
      </a:dk1>
      <a:lt1>
        <a:srgbClr val="FFFFFF"/>
      </a:lt1>
      <a:dk2>
        <a:srgbClr val="635C50"/>
      </a:dk2>
      <a:lt2>
        <a:srgbClr val="E8E7E5"/>
      </a:lt2>
      <a:accent1>
        <a:srgbClr val="84C183"/>
      </a:accent1>
      <a:accent2>
        <a:srgbClr val="F4D647"/>
      </a:accent2>
      <a:accent3>
        <a:srgbClr val="82CECC"/>
      </a:accent3>
      <a:accent4>
        <a:srgbClr val="FFAD2E"/>
      </a:accent4>
      <a:accent5>
        <a:srgbClr val="E67342"/>
      </a:accent5>
      <a:accent6>
        <a:srgbClr val="B580A1"/>
      </a:accent6>
      <a:hlink>
        <a:srgbClr val="82CECC"/>
      </a:hlink>
      <a:folHlink>
        <a:srgbClr val="B580A1"/>
      </a:folHlink>
    </a:clrScheme>
    <a:fontScheme name="Expense Report">
      <a:majorFont>
        <a:latin typeface="Bookman Old Style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A1:R26"/>
  <sheetViews>
    <sheetView showGridLines="0" tabSelected="1" topLeftCell="A2" zoomScaleNormal="100" workbookViewId="0">
      <selection activeCell="J7" sqref="J7"/>
    </sheetView>
  </sheetViews>
  <sheetFormatPr defaultRowHeight="16.5" customHeight="1" x14ac:dyDescent="0.25"/>
  <cols>
    <col min="1" max="1" width="2" customWidth="1"/>
    <col min="2" max="2" width="15.69921875" customWidth="1"/>
    <col min="3" max="6" width="12.69921875" customWidth="1"/>
    <col min="7" max="7" width="12.69921875" bestFit="1" customWidth="1"/>
    <col min="10" max="10" width="12.69921875" customWidth="1"/>
    <col min="11" max="11" width="11.296875" style="8" bestFit="1" customWidth="1"/>
    <col min="12" max="14" width="9.09765625" style="8"/>
    <col min="15" max="16" width="12.69921875" customWidth="1"/>
    <col min="17" max="17" width="11.19921875" customWidth="1"/>
    <col min="18" max="18" width="18.296875" bestFit="1" customWidth="1"/>
  </cols>
  <sheetData>
    <row r="1" spans="1:18" ht="90" customHeight="1" x14ac:dyDescent="0.25">
      <c r="B1" s="17"/>
      <c r="C1" s="17"/>
      <c r="D1" s="17"/>
      <c r="E1" s="17"/>
      <c r="F1" s="17"/>
      <c r="G1" s="17"/>
      <c r="H1" s="17"/>
      <c r="I1" s="17"/>
      <c r="J1" s="17"/>
      <c r="K1" s="24"/>
      <c r="L1" s="24"/>
      <c r="M1" s="24"/>
      <c r="N1" s="24"/>
      <c r="O1" s="17"/>
      <c r="P1" s="17"/>
      <c r="Q1" s="25"/>
      <c r="R1" s="23" t="s">
        <v>33</v>
      </c>
    </row>
    <row r="2" spans="1:18" s="4" customFormat="1" ht="30" customHeight="1" x14ac:dyDescent="0.25">
      <c r="A2" s="22"/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 t="s">
        <v>22</v>
      </c>
    </row>
    <row r="3" spans="1:18" ht="10" customHeight="1" x14ac:dyDescent="0.25"/>
    <row r="4" spans="1:18" ht="16.5" customHeight="1" x14ac:dyDescent="0.25">
      <c r="B4" s="19" t="s">
        <v>20</v>
      </c>
      <c r="C4" s="20" t="s">
        <v>17</v>
      </c>
      <c r="F4" s="19" t="s">
        <v>27</v>
      </c>
      <c r="G4" s="20" t="s">
        <v>18</v>
      </c>
      <c r="H4" s="1"/>
      <c r="I4" s="1"/>
      <c r="J4" s="19" t="s">
        <v>31</v>
      </c>
      <c r="K4" s="20" t="s">
        <v>29</v>
      </c>
      <c r="R4" s="5" t="s">
        <v>34</v>
      </c>
    </row>
    <row r="5" spans="1:18" ht="16.5" customHeight="1" x14ac:dyDescent="0.25">
      <c r="B5" s="19" t="s">
        <v>21</v>
      </c>
      <c r="C5" s="20" t="s">
        <v>28</v>
      </c>
      <c r="F5" s="19" t="s">
        <v>21</v>
      </c>
      <c r="G5" s="20" t="s">
        <v>19</v>
      </c>
      <c r="H5" s="1"/>
      <c r="I5" s="1"/>
      <c r="J5" s="19" t="s">
        <v>32</v>
      </c>
      <c r="K5" s="20" t="s">
        <v>30</v>
      </c>
      <c r="R5" s="5" t="s">
        <v>35</v>
      </c>
    </row>
    <row r="6" spans="1:18" ht="16.5" customHeight="1" x14ac:dyDescent="0.25">
      <c r="B6" s="19" t="s">
        <v>39</v>
      </c>
      <c r="C6" s="21">
        <v>43179</v>
      </c>
      <c r="F6" s="19" t="s">
        <v>40</v>
      </c>
      <c r="G6" s="21">
        <v>43185</v>
      </c>
      <c r="H6" s="1"/>
      <c r="I6" s="1"/>
      <c r="J6" s="17"/>
    </row>
    <row r="7" spans="1:18" s="1" customFormat="1" ht="10" customHeight="1" x14ac:dyDescent="0.25">
      <c r="B7" s="6"/>
      <c r="C7" s="7"/>
      <c r="K7" s="8"/>
      <c r="L7" s="8"/>
      <c r="M7" s="8"/>
      <c r="N7" s="8"/>
    </row>
    <row r="8" spans="1:18" s="1" customFormat="1" ht="20.149999999999999" customHeight="1" x14ac:dyDescent="0.25">
      <c r="B8" s="48" t="s">
        <v>0</v>
      </c>
      <c r="C8" s="48" t="s">
        <v>1</v>
      </c>
      <c r="D8" s="36" t="s">
        <v>37</v>
      </c>
      <c r="E8" s="37"/>
      <c r="F8" s="37"/>
      <c r="G8" s="36" t="s">
        <v>38</v>
      </c>
      <c r="H8" s="37"/>
      <c r="I8" s="37"/>
      <c r="J8" s="36" t="s">
        <v>36</v>
      </c>
      <c r="K8" s="37" t="s">
        <v>2</v>
      </c>
      <c r="L8" s="37"/>
      <c r="M8" s="37"/>
      <c r="N8" s="37"/>
      <c r="O8" s="36" t="s">
        <v>3</v>
      </c>
      <c r="P8" s="36" t="s">
        <v>4</v>
      </c>
      <c r="Q8" s="36" t="s">
        <v>41</v>
      </c>
      <c r="R8" s="36" t="s">
        <v>5</v>
      </c>
    </row>
    <row r="9" spans="1:18" s="1" customFormat="1" ht="30" customHeight="1" x14ac:dyDescent="0.25">
      <c r="B9" s="49"/>
      <c r="C9" s="49"/>
      <c r="D9" s="9" t="s">
        <v>6</v>
      </c>
      <c r="E9" s="9" t="s">
        <v>7</v>
      </c>
      <c r="F9" s="9" t="s">
        <v>8</v>
      </c>
      <c r="G9" s="9" t="s">
        <v>9</v>
      </c>
      <c r="H9" s="9" t="s">
        <v>10</v>
      </c>
      <c r="I9" s="9" t="s">
        <v>11</v>
      </c>
      <c r="J9" s="37"/>
      <c r="K9" s="9" t="s">
        <v>12</v>
      </c>
      <c r="L9" s="9" t="s">
        <v>13</v>
      </c>
      <c r="M9" s="9" t="s">
        <v>14</v>
      </c>
      <c r="N9" s="9" t="s">
        <v>15</v>
      </c>
      <c r="O9" s="37"/>
      <c r="P9" s="37"/>
      <c r="Q9" s="37"/>
      <c r="R9" s="37"/>
    </row>
    <row r="10" spans="1:18" ht="3.75" customHeight="1" x14ac:dyDescent="0.25"/>
    <row r="11" spans="1:18" ht="16.5" customHeight="1" x14ac:dyDescent="0.25">
      <c r="B11" s="10">
        <v>43179</v>
      </c>
      <c r="C11" s="11">
        <v>100</v>
      </c>
      <c r="D11" s="11">
        <v>100</v>
      </c>
      <c r="E11" s="11">
        <v>100</v>
      </c>
      <c r="F11" s="11">
        <v>1000</v>
      </c>
      <c r="G11" s="11">
        <v>100</v>
      </c>
      <c r="H11" s="11">
        <v>100</v>
      </c>
      <c r="I11" s="11">
        <v>100</v>
      </c>
      <c r="J11" s="30">
        <v>1</v>
      </c>
      <c r="K11" s="16">
        <v>1234.0729166666667</v>
      </c>
      <c r="L11" s="16">
        <v>100</v>
      </c>
      <c r="M11" s="16">
        <v>100</v>
      </c>
      <c r="N11" s="16">
        <v>100</v>
      </c>
      <c r="O11" s="16">
        <v>100</v>
      </c>
      <c r="P11" s="16">
        <v>100</v>
      </c>
      <c r="Q11" s="30">
        <v>1</v>
      </c>
      <c r="R11" s="15" t="s">
        <v>16</v>
      </c>
    </row>
    <row r="12" spans="1:18" ht="16.5" customHeight="1" x14ac:dyDescent="0.25">
      <c r="B12" s="10">
        <v>43180</v>
      </c>
      <c r="C12" s="14">
        <v>234</v>
      </c>
      <c r="D12" s="14">
        <v>234</v>
      </c>
      <c r="E12" s="14">
        <v>234</v>
      </c>
      <c r="F12" s="14">
        <v>2340</v>
      </c>
      <c r="G12" s="14">
        <v>234</v>
      </c>
      <c r="H12" s="14">
        <v>234</v>
      </c>
      <c r="I12" s="14">
        <v>234</v>
      </c>
      <c r="J12" s="30">
        <v>1</v>
      </c>
      <c r="K12" s="16">
        <v>234.04166666666666</v>
      </c>
      <c r="L12" s="16">
        <v>234</v>
      </c>
      <c r="M12" s="16">
        <v>234</v>
      </c>
      <c r="N12" s="16">
        <v>234</v>
      </c>
      <c r="O12" s="16">
        <v>234</v>
      </c>
      <c r="P12" s="16">
        <v>234</v>
      </c>
      <c r="Q12" s="30">
        <v>1</v>
      </c>
      <c r="R12" s="12"/>
    </row>
    <row r="13" spans="1:18" ht="16.5" customHeight="1" x14ac:dyDescent="0.25">
      <c r="B13" s="10">
        <v>43181</v>
      </c>
      <c r="C13" s="14">
        <v>342</v>
      </c>
      <c r="D13" s="14">
        <v>342</v>
      </c>
      <c r="E13" s="14">
        <v>342</v>
      </c>
      <c r="F13" s="11">
        <v>3680</v>
      </c>
      <c r="G13" s="14">
        <v>342</v>
      </c>
      <c r="H13" s="14">
        <v>342</v>
      </c>
      <c r="I13" s="14">
        <v>342</v>
      </c>
      <c r="J13" s="30">
        <v>1</v>
      </c>
      <c r="K13" s="16">
        <v>342</v>
      </c>
      <c r="L13" s="16">
        <v>342</v>
      </c>
      <c r="M13" s="16">
        <v>342</v>
      </c>
      <c r="N13" s="16">
        <v>342</v>
      </c>
      <c r="O13" s="16">
        <v>342</v>
      </c>
      <c r="P13" s="16">
        <v>342</v>
      </c>
      <c r="Q13" s="30">
        <v>1</v>
      </c>
      <c r="R13" s="12"/>
    </row>
    <row r="14" spans="1:18" ht="16.5" customHeight="1" x14ac:dyDescent="0.25">
      <c r="B14" s="10">
        <v>43182</v>
      </c>
      <c r="C14" s="14">
        <v>222</v>
      </c>
      <c r="D14" s="14">
        <v>222</v>
      </c>
      <c r="E14" s="14">
        <v>222</v>
      </c>
      <c r="F14" s="14">
        <v>5020</v>
      </c>
      <c r="G14" s="14">
        <v>222</v>
      </c>
      <c r="H14" s="14">
        <v>222</v>
      </c>
      <c r="I14" s="14">
        <v>222</v>
      </c>
      <c r="J14" s="30">
        <v>1</v>
      </c>
      <c r="K14" s="16">
        <v>222</v>
      </c>
      <c r="L14" s="16">
        <v>222</v>
      </c>
      <c r="M14" s="16">
        <v>222</v>
      </c>
      <c r="N14" s="16">
        <v>222</v>
      </c>
      <c r="O14" s="16">
        <v>222</v>
      </c>
      <c r="P14" s="16">
        <v>222</v>
      </c>
      <c r="Q14" s="30">
        <v>1</v>
      </c>
      <c r="R14" s="12"/>
    </row>
    <row r="15" spans="1:18" ht="16.5" customHeight="1" x14ac:dyDescent="0.25">
      <c r="B15" s="10">
        <v>43183</v>
      </c>
      <c r="C15" s="14">
        <v>221</v>
      </c>
      <c r="D15" s="14">
        <v>221</v>
      </c>
      <c r="E15" s="14">
        <v>221</v>
      </c>
      <c r="F15" s="11">
        <v>6360</v>
      </c>
      <c r="G15" s="14">
        <v>221</v>
      </c>
      <c r="H15" s="14">
        <v>221</v>
      </c>
      <c r="I15" s="14">
        <v>221</v>
      </c>
      <c r="J15" s="30">
        <v>1</v>
      </c>
      <c r="K15" s="16">
        <v>221</v>
      </c>
      <c r="L15" s="16">
        <v>221</v>
      </c>
      <c r="M15" s="16">
        <v>221</v>
      </c>
      <c r="N15" s="16">
        <v>221</v>
      </c>
      <c r="O15" s="16">
        <v>221</v>
      </c>
      <c r="P15" s="16">
        <v>221</v>
      </c>
      <c r="Q15" s="30">
        <v>1</v>
      </c>
      <c r="R15" s="12"/>
    </row>
    <row r="16" spans="1:18" ht="16.5" customHeight="1" x14ac:dyDescent="0.25">
      <c r="B16" s="10">
        <v>43184</v>
      </c>
      <c r="C16" s="14">
        <v>324</v>
      </c>
      <c r="D16" s="14">
        <v>324</v>
      </c>
      <c r="E16" s="14">
        <v>324</v>
      </c>
      <c r="F16" s="14">
        <v>7700</v>
      </c>
      <c r="G16" s="14">
        <v>324</v>
      </c>
      <c r="H16" s="14">
        <v>324</v>
      </c>
      <c r="I16" s="14">
        <v>324</v>
      </c>
      <c r="J16" s="30">
        <v>1</v>
      </c>
      <c r="K16" s="16">
        <v>324</v>
      </c>
      <c r="L16" s="16">
        <v>324</v>
      </c>
      <c r="M16" s="16">
        <v>324</v>
      </c>
      <c r="N16" s="16">
        <v>324</v>
      </c>
      <c r="O16" s="16">
        <v>324</v>
      </c>
      <c r="P16" s="16">
        <v>324</v>
      </c>
      <c r="Q16" s="30">
        <v>1</v>
      </c>
      <c r="R16" s="12"/>
    </row>
    <row r="17" spans="2:18" ht="16.5" customHeight="1" x14ac:dyDescent="0.25">
      <c r="B17" s="10">
        <v>43185</v>
      </c>
      <c r="C17" s="14">
        <v>543</v>
      </c>
      <c r="D17" s="14">
        <v>543</v>
      </c>
      <c r="E17" s="14">
        <v>543</v>
      </c>
      <c r="F17" s="11">
        <v>9040</v>
      </c>
      <c r="G17" s="14">
        <v>543</v>
      </c>
      <c r="H17" s="14">
        <v>543</v>
      </c>
      <c r="I17" s="14">
        <v>543</v>
      </c>
      <c r="J17" s="30">
        <v>1</v>
      </c>
      <c r="K17" s="16">
        <v>10</v>
      </c>
      <c r="L17" s="16">
        <v>543</v>
      </c>
      <c r="M17" s="16">
        <v>543</v>
      </c>
      <c r="N17" s="16">
        <v>543</v>
      </c>
      <c r="O17" s="16">
        <v>543</v>
      </c>
      <c r="P17" s="16">
        <v>543</v>
      </c>
      <c r="Q17" s="30">
        <v>1</v>
      </c>
      <c r="R17" s="12"/>
    </row>
    <row r="18" spans="2:18" ht="16.5" customHeight="1" x14ac:dyDescent="0.25">
      <c r="C18" s="13">
        <f>SUBTOTAL(109,C11:C17)</f>
        <v>1986</v>
      </c>
      <c r="D18" s="13">
        <f>SUBTOTAL(107,Energy[Day 2])</f>
        <v>139.17221260691645</v>
      </c>
      <c r="E18" s="13">
        <f>SUBTOTAL(104,Energy[Day 3])</f>
        <v>543</v>
      </c>
      <c r="F18" s="13">
        <f>SUBTOTAL(104,Energy[Day 4])</f>
        <v>9040</v>
      </c>
      <c r="G18" s="13">
        <f>SUBTOTAL(101,Energy[Day 5])</f>
        <v>283.71428571428572</v>
      </c>
      <c r="H18" s="13">
        <f>SUBTOTAL(101,Energy[Day 6])</f>
        <v>283.71428571428572</v>
      </c>
      <c r="I18" s="13">
        <f>SUBTOTAL(101,Energy[Day 7])</f>
        <v>283.71428571428572</v>
      </c>
      <c r="J18" s="31">
        <f>SUBTOTAL(101,Energy[Total])</f>
        <v>1</v>
      </c>
      <c r="K18" s="29">
        <f>SUBTOTAL(109,Energy[Column1])</f>
        <v>2587.1145833333335</v>
      </c>
      <c r="L18" s="29">
        <f>SUBTOTAL(109,Energy[Column2])</f>
        <v>1986</v>
      </c>
      <c r="M18" s="29">
        <f>SUBTOTAL(109,Energy[Column3])</f>
        <v>1986</v>
      </c>
      <c r="N18" s="29">
        <f>SUBTOTAL(109,Energy[Column4])</f>
        <v>1986</v>
      </c>
      <c r="O18" s="29">
        <f>SUBTOTAL(109,Energy[Column5])</f>
        <v>1986</v>
      </c>
      <c r="P18" s="29">
        <f>SUBTOTAL(109,Energy[Column6])</f>
        <v>1986</v>
      </c>
      <c r="Q18" s="31">
        <f>SUBTOTAL(101,Energy[Column7])</f>
        <v>1</v>
      </c>
      <c r="R18" s="13"/>
    </row>
    <row r="19" spans="2:18" ht="16.5" customHeight="1" x14ac:dyDescent="0.25">
      <c r="B19" s="38"/>
      <c r="C19" s="38"/>
      <c r="D19" s="38"/>
      <c r="E19" s="38"/>
      <c r="F19" s="38"/>
      <c r="G19" s="38"/>
      <c r="H19" s="38"/>
      <c r="I19" s="38"/>
      <c r="J19" s="38"/>
    </row>
    <row r="20" spans="2:18" ht="16.5" customHeight="1" x14ac:dyDescent="0.25">
      <c r="Q20" s="18"/>
      <c r="R20" s="33" t="s">
        <v>24</v>
      </c>
    </row>
    <row r="21" spans="2:18" ht="16.5" customHeight="1" x14ac:dyDescent="0.25">
      <c r="B21" s="39" t="s">
        <v>26</v>
      </c>
      <c r="C21" s="40"/>
      <c r="D21" s="40"/>
      <c r="E21" s="41"/>
      <c r="P21" s="2"/>
      <c r="Q21" s="2"/>
      <c r="R21" s="32">
        <f>Energy[[#Totals],[Day 2]]</f>
        <v>139.17221260691645</v>
      </c>
    </row>
    <row r="22" spans="2:18" ht="16.5" customHeight="1" x14ac:dyDescent="0.25">
      <c r="B22" s="42"/>
      <c r="C22" s="43"/>
      <c r="D22" s="43"/>
      <c r="E22" s="44"/>
      <c r="R22" s="34" t="s">
        <v>25</v>
      </c>
    </row>
    <row r="23" spans="2:18" ht="16.5" customHeight="1" x14ac:dyDescent="0.25">
      <c r="B23" s="42"/>
      <c r="C23" s="43"/>
      <c r="D23" s="43"/>
      <c r="E23" s="44"/>
      <c r="P23" s="2"/>
      <c r="Q23" s="2"/>
      <c r="R23" s="32">
        <f>Energy[[#Totals],[Day 3]]</f>
        <v>543</v>
      </c>
    </row>
    <row r="24" spans="2:18" ht="16.5" customHeight="1" x14ac:dyDescent="0.25">
      <c r="B24" s="42"/>
      <c r="C24" s="43"/>
      <c r="D24" s="43"/>
      <c r="E24" s="44"/>
      <c r="R24" s="35" t="s">
        <v>23</v>
      </c>
    </row>
    <row r="25" spans="2:18" ht="16.5" customHeight="1" x14ac:dyDescent="0.25">
      <c r="B25" s="45"/>
      <c r="C25" s="46"/>
      <c r="D25" s="46"/>
      <c r="E25" s="47"/>
      <c r="P25" s="2"/>
      <c r="Q25" s="2"/>
      <c r="R25" s="32">
        <f>Energy[[#Totals],[Day 4]]</f>
        <v>9040</v>
      </c>
    </row>
    <row r="26" spans="2:18" ht="16.5" customHeight="1" x14ac:dyDescent="0.25">
      <c r="R26" s="3"/>
    </row>
  </sheetData>
  <mergeCells count="12">
    <mergeCell ref="B21:E25"/>
    <mergeCell ref="B8:B9"/>
    <mergeCell ref="C8:C9"/>
    <mergeCell ref="D8:F8"/>
    <mergeCell ref="G8:I8"/>
    <mergeCell ref="R8:R9"/>
    <mergeCell ref="B19:J19"/>
    <mergeCell ref="J8:J9"/>
    <mergeCell ref="K8:N8"/>
    <mergeCell ref="O8:O9"/>
    <mergeCell ref="P8:P9"/>
    <mergeCell ref="Q8:Q9"/>
  </mergeCells>
  <printOptions horizontalCentered="1"/>
  <pageMargins left="0.4" right="0.4" top="0.8" bottom="0.5" header="0.5" footer="0.5"/>
  <pageSetup scale="71" orientation="landscape" r:id="rId1"/>
  <headerFooter>
    <oddHeader>&amp;A</oddHeader>
    <oddFooter>&amp;L&amp;A&amp;C&amp;"-,Bold" Confidential&amp;RPage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Dharmesh Tanti</dc:creator>
  <cp:keywords/>
  <cp:lastModifiedBy>Selva Ram</cp:lastModifiedBy>
  <cp:lastPrinted>2025-11-05T05:38:04Z</cp:lastPrinted>
  <dcterms:created xsi:type="dcterms:W3CDTF">2017-05-29T10:49:47Z</dcterms:created>
  <dcterms:modified xsi:type="dcterms:W3CDTF">2025-11-05T06:33:23Z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